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<sst xmlns="http://schemas.openxmlformats.org/spreadsheetml/2006/main" count="103" uniqueCount="51">
  <si>
    <t>Teórico</t>
  </si>
  <si>
    <t>Práctico</t>
  </si>
  <si>
    <t>Preguntar</t>
  </si>
  <si>
    <t>Fecha</t>
  </si>
  <si>
    <t>Clases Pediatría</t>
  </si>
  <si>
    <t>Docentes</t>
  </si>
  <si>
    <t>Lunes</t>
  </si>
  <si>
    <t xml:space="preserve">Presentaciòn de la cursada/Introduccion/ HC </t>
  </si>
  <si>
    <t>Diego S</t>
  </si>
  <si>
    <t>Acuna Leyla y Barilaro Canela</t>
  </si>
  <si>
    <t>Martes</t>
  </si>
  <si>
    <t>Antrompometría - auxología</t>
  </si>
  <si>
    <t>Diego Piñeyro</t>
  </si>
  <si>
    <t>Caruso, CAstro, Damiani y Delgado Pabia</t>
  </si>
  <si>
    <t>Miercoles</t>
  </si>
  <si>
    <r>
      <rPr>
        <rFont val="Calibri"/>
        <color theme="1"/>
        <sz val="11.0"/>
      </rPr>
      <t xml:space="preserve">Alimentacion complementaria - Lactancia  </t>
    </r>
    <r>
      <rPr>
        <rFont val="Calibri"/>
        <color rgb="FFFF0000"/>
        <sz val="11.0"/>
      </rPr>
      <t>10 hs</t>
    </r>
  </si>
  <si>
    <t>Lucia di Nobili</t>
  </si>
  <si>
    <t>Diaz Moreno, Garcia, Gentile, Guerreiro</t>
  </si>
  <si>
    <t>Jueves</t>
  </si>
  <si>
    <t>Inmunizaciones</t>
  </si>
  <si>
    <t>Carolina</t>
  </si>
  <si>
    <t>Viernes</t>
  </si>
  <si>
    <t>Cardiopatias congénitas</t>
  </si>
  <si>
    <t>Diego Steinberg</t>
  </si>
  <si>
    <t>Prematurez</t>
  </si>
  <si>
    <t>Quispe y Rojas</t>
  </si>
  <si>
    <t xml:space="preserve"> Desarrolo madurativo primer año </t>
  </si>
  <si>
    <t>Fernanda Nisimura</t>
  </si>
  <si>
    <t>Teixeira Cruz, Tellias y Gallioto</t>
  </si>
  <si>
    <t>/Desarrollo 12 a 36 meses</t>
  </si>
  <si>
    <t>Carolina Abraldes</t>
  </si>
  <si>
    <t>Leguizamon y Marquez</t>
  </si>
  <si>
    <t>Sin fecha</t>
  </si>
  <si>
    <t>Desarrollo 3 a 10 años</t>
  </si>
  <si>
    <t xml:space="preserve">Mendez y Olmos        </t>
  </si>
  <si>
    <t>Naty</t>
  </si>
  <si>
    <t>Obesis</t>
  </si>
  <si>
    <t>Cardiopatías congéntias</t>
  </si>
  <si>
    <t>ITU</t>
  </si>
  <si>
    <t>FERIADO</t>
  </si>
  <si>
    <t>Bronquiolitis</t>
  </si>
  <si>
    <t>Sol Novello</t>
  </si>
  <si>
    <t>Sme Urémico Hemolítico</t>
  </si>
  <si>
    <t>NO HAY AULA</t>
  </si>
  <si>
    <t>Dermatitis</t>
  </si>
  <si>
    <t>Libertad Yepez</t>
  </si>
  <si>
    <t>213/9</t>
  </si>
  <si>
    <t>Exantematicas</t>
  </si>
  <si>
    <t>soplos</t>
  </si>
  <si>
    <t>Repaso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</si>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</sst>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"/>
    <numFmt numFmtId="165" formatCode="d/m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i/>
      <sz val="12.0"/>
      <color theme="1"/>
      <name val="Calibri"/>
    </font>
    <font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1.0"/>
      <color rgb="FF000000"/>
      <name val="Docs-Calibri"/>
    </font>
    <font>
      <b/>
      <sz val="11.0"/>
      <color theme="1"/>
      <name val="Calibri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3" fontId="4" numFmtId="0" xfId="0" applyAlignment="1" applyFill="1" applyFont="1">
      <alignment readingOrder="0"/>
    </xf>
    <xf borderId="2" fillId="4" fontId="5" numFmtId="0" xfId="0" applyBorder="1" applyFill="1" applyFont="1"/>
    <xf borderId="3" fillId="4" fontId="5" numFmtId="0" xfId="0" applyAlignment="1" applyBorder="1" applyFont="1">
      <alignment horizontal="left"/>
    </xf>
    <xf borderId="4" fillId="4" fontId="5" numFmtId="0" xfId="0" applyBorder="1" applyFont="1"/>
    <xf borderId="5" fillId="4" fontId="5" numFmtId="0" xfId="0" applyBorder="1" applyFont="1"/>
    <xf borderId="1" fillId="2" fontId="4" numFmtId="0" xfId="0" applyAlignment="1" applyBorder="1" applyFont="1">
      <alignment readingOrder="0"/>
    </xf>
    <xf borderId="6" fillId="5" fontId="1" numFmtId="0" xfId="0" applyBorder="1" applyFill="1" applyFont="1"/>
    <xf borderId="7" fillId="5" fontId="1" numFmtId="0" xfId="0" applyAlignment="1" applyBorder="1" applyFont="1">
      <alignment horizontal="left"/>
    </xf>
    <xf borderId="1" fillId="5" fontId="1" numFmtId="0" xfId="0" applyBorder="1" applyFont="1"/>
    <xf borderId="8" fillId="5" fontId="1" numFmtId="0" xfId="0" applyBorder="1" applyFont="1"/>
    <xf borderId="1" fillId="0" fontId="4" numFmtId="0" xfId="0" applyBorder="1" applyFont="1"/>
    <xf borderId="6" fillId="6" fontId="1" numFmtId="0" xfId="0" applyBorder="1" applyFill="1" applyFont="1"/>
    <xf borderId="1" fillId="6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readingOrder="0"/>
    </xf>
    <xf borderId="9" fillId="6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6" fillId="7" fontId="1" numFmtId="0" xfId="0" applyBorder="1" applyFill="1" applyFont="1"/>
    <xf borderId="1" fillId="7" fontId="1" numFmtId="164" xfId="0" applyAlignment="1" applyBorder="1" applyFont="1" applyNumberFormat="1">
      <alignment horizontal="left" readingOrder="0"/>
    </xf>
    <xf borderId="1" fillId="7" fontId="1" numFmtId="0" xfId="0" applyAlignment="1" applyBorder="1" applyFont="1">
      <alignment readingOrder="0"/>
    </xf>
    <xf borderId="9" fillId="7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6" fillId="0" fontId="1" numFmtId="0" xfId="0" applyBorder="1" applyFont="1"/>
    <xf borderId="1" fillId="0" fontId="1" numFmtId="164" xfId="0" applyAlignment="1" applyBorder="1" applyFont="1" applyNumberFormat="1">
      <alignment horizontal="left" readingOrder="0"/>
    </xf>
    <xf borderId="9" fillId="0" fontId="1" numFmtId="0" xfId="0" applyAlignment="1" applyBorder="1" applyFont="1">
      <alignment readingOrder="0"/>
    </xf>
    <xf borderId="0" fillId="7" fontId="7" numFmtId="0" xfId="0" applyAlignment="1" applyFont="1">
      <alignment horizontal="left" readingOrder="0"/>
    </xf>
    <xf borderId="10" fillId="0" fontId="1" numFmtId="0" xfId="0" applyAlignment="1" applyBorder="1" applyFont="1">
      <alignment readingOrder="0"/>
    </xf>
    <xf borderId="1" fillId="5" fontId="1" numFmtId="164" xfId="0" applyAlignment="1" applyBorder="1" applyFont="1" applyNumberFormat="1">
      <alignment horizontal="left"/>
    </xf>
    <xf borderId="9" fillId="5" fontId="1" numFmtId="0" xfId="0" applyBorder="1" applyFont="1"/>
    <xf borderId="1" fillId="0" fontId="1" numFmtId="165" xfId="0" applyAlignment="1" applyBorder="1" applyFont="1" applyNumberFormat="1">
      <alignment horizontal="left" readingOrder="0"/>
    </xf>
    <xf borderId="1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9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horizontal="left" readingOrder="0"/>
    </xf>
    <xf borderId="6" fillId="8" fontId="1" numFmtId="0" xfId="0" applyBorder="1" applyFill="1" applyFont="1"/>
    <xf borderId="1" fillId="8" fontId="1" numFmtId="0" xfId="0" applyAlignment="1" applyBorder="1" applyFont="1">
      <alignment horizontal="left" readingOrder="0"/>
    </xf>
    <xf borderId="10" fillId="8" fontId="1" numFmtId="0" xfId="0" applyAlignment="1" applyBorder="1" applyFont="1">
      <alignment readingOrder="0"/>
    </xf>
    <xf borderId="9" fillId="8" fontId="1" numFmtId="0" xfId="0" applyAlignment="1" applyBorder="1" applyFont="1">
      <alignment readingOrder="0"/>
    </xf>
    <xf borderId="1" fillId="9" fontId="4" numFmtId="0" xfId="0" applyBorder="1" applyFill="1" applyFont="1"/>
    <xf borderId="0" fillId="0" fontId="8" numFmtId="0" xfId="0" applyFont="1"/>
    <xf borderId="0" fillId="6" fontId="4" numFmtId="0" xfId="0" applyFont="1"/>
    <xf borderId="6" fillId="6" fontId="1" numFmtId="0" xfId="0" applyAlignment="1" applyBorder="1" applyFont="1">
      <alignment readingOrder="0"/>
    </xf>
    <xf borderId="1" fillId="6" fontId="1" numFmtId="165" xfId="0" applyAlignment="1" applyBorder="1" applyFont="1" applyNumberFormat="1">
      <alignment horizontal="left" readingOrder="0"/>
    </xf>
    <xf borderId="1" fillId="6" fontId="1" numFmtId="0" xfId="0" applyAlignment="1" applyBorder="1" applyFont="1">
      <alignment readingOrder="0"/>
    </xf>
    <xf borderId="1" fillId="6" fontId="4" numFmtId="0" xfId="0" applyBorder="1" applyFont="1"/>
    <xf borderId="1" fillId="7" fontId="7" numFmtId="0" xfId="0" applyAlignment="1" applyBorder="1" applyFont="1">
      <alignment horizontal="left" readingOrder="0"/>
    </xf>
    <xf borderId="9" fillId="0" fontId="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8" fontId="4" numFmtId="0" xfId="0" applyFont="1"/>
    <xf borderId="6" fillId="8" fontId="1" numFmtId="0" xfId="0" applyAlignment="1" applyBorder="1" applyFont="1">
      <alignment readingOrder="0"/>
    </xf>
    <xf borderId="1" fillId="8" fontId="1" numFmtId="165" xfId="0" applyAlignment="1" applyBorder="1" applyFont="1" applyNumberFormat="1">
      <alignment horizontal="left" readingOrder="0"/>
    </xf>
    <xf borderId="1" fillId="8" fontId="1" numFmtId="0" xfId="0" applyAlignment="1" applyBorder="1" applyFont="1">
      <alignment readingOrder="0"/>
    </xf>
    <xf borderId="1" fillId="8" fontId="4" numFmtId="0" xfId="0" applyAlignment="1" applyBorder="1" applyFont="1">
      <alignment readingOrder="0"/>
    </xf>
    <xf borderId="0" fillId="0" fontId="9" numFmtId="0" xfId="0" applyAlignment="1" applyFont="1">
      <alignment horizontal="left" readingOrder="0"/>
    </xf>
    <xf borderId="0" fillId="7" fontId="9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6" fontId="1" numFmtId="0" xfId="0" applyFont="1"/>
    <xf borderId="11" fillId="6" fontId="1" numFmtId="0" xfId="0" applyAlignment="1" applyBorder="1" applyFont="1">
      <alignment readingOrder="0"/>
    </xf>
    <xf borderId="12" fillId="5" fontId="1" numFmtId="0" xfId="0" applyBorder="1" applyFont="1"/>
    <xf borderId="13" fillId="5" fontId="10" numFmtId="164" xfId="0" applyAlignment="1" applyBorder="1" applyFont="1" applyNumberFormat="1">
      <alignment horizontal="left"/>
    </xf>
    <xf borderId="13" fillId="5" fontId="10" numFmtId="0" xfId="0" applyBorder="1" applyFont="1"/>
    <xf borderId="14" fillId="5" fontId="10" numFmtId="0" xfId="0" applyBorder="1" applyFont="1"/>
    <xf borderId="15" fillId="6" fontId="1" numFmtId="0" xfId="0" applyBorder="1" applyFont="1"/>
    <xf borderId="16" fillId="6" fontId="1" numFmtId="165" xfId="0" applyAlignment="1" applyBorder="1" applyFont="1" applyNumberFormat="1">
      <alignment horizontal="left" readingOrder="0"/>
    </xf>
    <xf borderId="16" fillId="6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7" fillId="0" fontId="1" numFmtId="0" xfId="0" applyBorder="1" applyFont="1"/>
    <xf borderId="18" fillId="0" fontId="1" numFmtId="165" xfId="0" applyAlignment="1" applyBorder="1" applyFont="1" applyNumberFormat="1">
      <alignment horizontal="left" readingOrder="0"/>
    </xf>
    <xf borderId="11" fillId="5" fontId="1" numFmtId="0" xfId="0" applyBorder="1" applyFont="1"/>
    <xf borderId="11" fillId="6" fontId="1" numFmtId="0" xfId="0" applyAlignment="1" applyBorder="1" applyFont="1">
      <alignment readingOrder="0"/>
    </xf>
    <xf borderId="11" fillId="10" fontId="1" numFmtId="0" xfId="0" applyAlignment="1" applyBorder="1" applyFill="1" applyFont="1">
      <alignment readingOrder="0"/>
    </xf>
    <xf borderId="0" fillId="7" fontId="4" numFmtId="0" xfId="0" applyFont="1"/>
    <xf borderId="6" fillId="7" fontId="1" numFmtId="0" xfId="0" applyAlignment="1" applyBorder="1" applyFont="1">
      <alignment readingOrder="0"/>
    </xf>
    <xf borderId="1" fillId="7" fontId="1" numFmtId="0" xfId="0" applyAlignment="1" applyBorder="1" applyFont="1">
      <alignment horizontal="left" readingOrder="0"/>
    </xf>
    <xf borderId="1" fillId="7" fontId="4" numFmtId="0" xfId="0" applyBorder="1" applyFont="1"/>
    <xf borderId="0" fillId="0" fontId="11" numFmtId="0" xfId="0" applyAlignment="1" applyFont="1">
      <alignment readingOrder="0"/>
    </xf>
    <xf borderId="11" fillId="5" fontId="1" numFmtId="0" xfId="0" applyAlignment="1" applyBorder="1" applyFont="1">
      <alignment readingOrder="0"/>
    </xf>
    <xf borderId="9" fillId="0" fontId="1" numFmtId="0" xfId="0" applyBorder="1" applyFont="1"/>
    <xf borderId="15" fillId="0" fontId="10" numFmtId="0" xfId="0" applyBorder="1" applyFont="1"/>
    <xf borderId="16" fillId="0" fontId="10" numFmtId="165" xfId="0" applyAlignment="1" applyBorder="1" applyFont="1" applyNumberFormat="1">
      <alignment horizontal="left" readingOrder="0"/>
    </xf>
    <xf borderId="19" fillId="0" fontId="10" numFmtId="0" xfId="0" applyAlignment="1" applyBorder="1" applyFont="1">
      <alignment readingOrder="0"/>
    </xf>
    <xf borderId="20" fillId="0" fontId="10" numFmtId="0" xfId="0" applyAlignment="1" applyBorder="1" applyFont="1">
      <alignment readingOrder="0"/>
    </xf>
    <xf borderId="21" fillId="0" fontId="1" numFmtId="0" xfId="0" applyBorder="1" applyFont="1"/>
    <xf borderId="22" fillId="0" fontId="1" numFmtId="165" xfId="0" applyAlignment="1" applyBorder="1" applyFont="1" applyNumberFormat="1">
      <alignment horizontal="left" readingOrder="0"/>
    </xf>
    <xf borderId="23" fillId="0" fontId="1" numFmtId="0" xfId="0" applyAlignment="1" applyBorder="1" applyFont="1">
      <alignment readingOrder="0"/>
    </xf>
    <xf borderId="24" fillId="0" fontId="1" numFmtId="165" xfId="0" applyAlignment="1" applyBorder="1" applyFont="1" applyNumberFormat="1">
      <alignment horizontal="left" readingOrder="0"/>
    </xf>
    <xf borderId="24" fillId="0" fontId="1" numFmtId="0" xfId="0" applyAlignment="1" applyBorder="1" applyFont="1">
      <alignment readingOrder="0"/>
    </xf>
    <xf borderId="25" fillId="0" fontId="1" numFmtId="0" xfId="0" applyBorder="1" applyFont="1"/>
    <xf borderId="26" fillId="6" fontId="1" numFmtId="0" xfId="0" applyAlignment="1" applyBorder="1" applyFont="1">
      <alignment horizontal="left"/>
    </xf>
    <xf borderId="26" fillId="0" fontId="1" numFmtId="0" xfId="0" applyBorder="1" applyFont="1"/>
    <xf borderId="26" fillId="6" fontId="1" numFmtId="0" xfId="0" applyBorder="1" applyFont="1"/>
    <xf borderId="0" fillId="0" fontId="7" numFmtId="0" xfId="0" applyFont="1"/>
    <xf borderId="0" fillId="0" fontId="1" numFmtId="0" xfId="0" applyFont="1"/>
    <xf borderId="0" fillId="0" fontId="1" numFmtId="1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71"/>
    <col customWidth="1" min="3" max="3" width="9.57"/>
    <col customWidth="1" min="4" max="4" width="46.14"/>
    <col customWidth="1" min="5" max="5" width="26.71"/>
    <col customWidth="1" min="6" max="6" width="39.57"/>
    <col customWidth="1" min="7" max="11" width="10.71"/>
  </cols>
  <sheetData>
    <row r="1" ht="14.25" customHeight="1">
      <c r="C1" s="1"/>
    </row>
    <row r="2" ht="14.25" customHeight="1">
      <c r="B2" s="2" t="s">
        <v>0</v>
      </c>
      <c r="F2" s="3" t="s">
        <v>1</v>
      </c>
      <c r="H2" s="4" t="s">
        <v>2</v>
      </c>
    </row>
    <row r="3" ht="14.25" customHeight="1">
      <c r="B3" s="5" t="s">
        <v>3</v>
      </c>
      <c r="C3" s="6" t="str">
        <f>IFERROR(__xludf.DUMMYFUNCTION("AI(""Completa un valor adecuado para esta celda en función del contexto de la tabla"")"),"Día")</f>
        <v>Día</v>
      </c>
      <c r="D3" s="7" t="s">
        <v>4</v>
      </c>
      <c r="E3" s="8" t="s">
        <v>5</v>
      </c>
      <c r="F3" s="9"/>
    </row>
    <row r="4" ht="14.25" customHeight="1">
      <c r="B4" s="10" t="str">
        <f>IFERROR(__xludf.DUMMYFUNCTION("AI(""Completa un valor adecuado para esta celda en función del contexto de la tabla"")"),"Lunes")</f>
        <v>Lunes</v>
      </c>
      <c r="C4" s="11" t="str">
        <f>IFERROR(__xludf.DUMMYFUNCTION("AI(""Completa un valor adecuado para esta celda en función del contexto de la tabla"")"),"Agosto")</f>
        <v>Agosto</v>
      </c>
      <c r="D4" s="12" t="str">
        <f>IFERROR(__xludf.DUMMYFUNCTION("AI(""Completa un valor adecuado para esta celda en función del contexto de la tabla"")"),"")</f>
        <v/>
      </c>
      <c r="E4" s="13" t="str">
        <f>IFERROR(__xludf.DUMMYFUNCTION("AI(""Completa un valor adecuado para esta celda en función del contexto de la tabla"")"),"Diego Piñeyro")</f>
        <v>Diego Piñeyro</v>
      </c>
      <c r="F4" s="14"/>
    </row>
    <row r="5" ht="14.25" customHeight="1">
      <c r="B5" s="15" t="s">
        <v>6</v>
      </c>
      <c r="C5" s="16">
        <v>46237.0</v>
      </c>
      <c r="D5" s="17" t="s">
        <v>7</v>
      </c>
      <c r="E5" s="18" t="s">
        <v>8</v>
      </c>
      <c r="F5" s="19" t="s">
        <v>9</v>
      </c>
    </row>
    <row r="6" ht="14.25" customHeight="1">
      <c r="B6" s="20" t="s">
        <v>10</v>
      </c>
      <c r="C6" s="21">
        <v>46238.0</v>
      </c>
      <c r="D6" s="22" t="s">
        <v>11</v>
      </c>
      <c r="E6" s="23" t="s">
        <v>12</v>
      </c>
      <c r="F6" s="19" t="s">
        <v>13</v>
      </c>
      <c r="H6" s="24"/>
      <c r="I6" s="25"/>
      <c r="J6" s="25"/>
    </row>
    <row r="7" ht="14.25" customHeight="1">
      <c r="B7" s="26" t="s">
        <v>14</v>
      </c>
      <c r="C7" s="27">
        <v>46239.0</v>
      </c>
      <c r="D7" s="17" t="s">
        <v>15</v>
      </c>
      <c r="E7" s="28" t="s">
        <v>16</v>
      </c>
      <c r="F7" s="19" t="s">
        <v>17</v>
      </c>
      <c r="H7" s="29"/>
    </row>
    <row r="8" ht="14.25" customHeight="1">
      <c r="B8" s="15" t="s">
        <v>18</v>
      </c>
      <c r="C8" s="27">
        <v>46240.0</v>
      </c>
      <c r="D8" s="22" t="s">
        <v>19</v>
      </c>
      <c r="E8" s="18" t="s">
        <v>20</v>
      </c>
      <c r="F8" s="14"/>
    </row>
    <row r="9" ht="14.25" customHeight="1">
      <c r="B9" s="26" t="s">
        <v>21</v>
      </c>
      <c r="C9" s="27">
        <v>46241.0</v>
      </c>
      <c r="D9" s="30" t="s">
        <v>22</v>
      </c>
      <c r="E9" s="28" t="s">
        <v>23</v>
      </c>
      <c r="F9" s="14"/>
      <c r="H9" s="24"/>
    </row>
    <row r="10" ht="14.25" customHeight="1">
      <c r="B10" s="10" t="str">
        <f>IFERROR(__xludf.DUMMYFUNCTION("AI(""Completa un valor adecuado para esta celda en función del contexto de la tabla"")"),"")</f>
        <v/>
      </c>
      <c r="C10" s="31"/>
      <c r="D10" s="12" t="str">
        <f>IFERROR(__xludf.DUMMYFUNCTION("AI(""Completa un valor adecuado para esta celda en función del contexto de la tabla"")"),"")</f>
        <v/>
      </c>
      <c r="E10" s="32" t="str">
        <f>IFERROR(__xludf.DUMMYFUNCTION("AI(""Completa un valor adecuado para esta celda en función del contexto de la tabla"")"),"Diego Piñeyro")</f>
        <v>Diego Piñeyro</v>
      </c>
      <c r="F10" s="14"/>
      <c r="H10" s="25"/>
    </row>
    <row r="11" ht="14.25" customHeight="1">
      <c r="B11" s="26" t="s">
        <v>6</v>
      </c>
      <c r="C11" s="33">
        <v>46244.0</v>
      </c>
      <c r="D11" s="34" t="s">
        <v>24</v>
      </c>
      <c r="E11" s="35" t="s">
        <v>23</v>
      </c>
      <c r="F11" s="19" t="s">
        <v>25</v>
      </c>
      <c r="H11" s="24"/>
    </row>
    <row r="12" ht="14.25" customHeight="1">
      <c r="B12" s="26" t="s">
        <v>10</v>
      </c>
      <c r="C12" s="33">
        <v>46245.0</v>
      </c>
      <c r="D12" s="34" t="s">
        <v>26</v>
      </c>
      <c r="E12" s="35" t="s">
        <v>27</v>
      </c>
      <c r="F12" s="19" t="s">
        <v>28</v>
      </c>
      <c r="H12" s="24"/>
    </row>
    <row r="13" ht="14.25" customHeight="1">
      <c r="B13" s="26" t="s">
        <v>14</v>
      </c>
      <c r="C13" s="33">
        <v>46246.0</v>
      </c>
      <c r="D13" s="36" t="s">
        <v>29</v>
      </c>
      <c r="E13" s="37" t="s">
        <v>30</v>
      </c>
      <c r="F13" s="19" t="s">
        <v>31</v>
      </c>
      <c r="H13" s="29" t="s">
        <v>32</v>
      </c>
    </row>
    <row r="14" ht="14.25" customHeight="1">
      <c r="B14" s="26" t="s">
        <v>18</v>
      </c>
      <c r="C14" s="33">
        <v>46247.0</v>
      </c>
      <c r="D14" s="34" t="s">
        <v>33</v>
      </c>
      <c r="E14" s="37" t="s">
        <v>30</v>
      </c>
      <c r="F14" s="19" t="s">
        <v>34</v>
      </c>
      <c r="H14" s="24" t="s">
        <v>35</v>
      </c>
      <c r="I14" s="38" t="s">
        <v>36</v>
      </c>
    </row>
    <row r="15" ht="14.25" customHeight="1">
      <c r="B15" s="26" t="s">
        <v>21</v>
      </c>
      <c r="C15" s="33">
        <v>46248.0</v>
      </c>
      <c r="D15" s="39" t="s">
        <v>37</v>
      </c>
      <c r="E15" s="40" t="s">
        <v>23</v>
      </c>
      <c r="F15" s="14"/>
      <c r="H15" s="24"/>
      <c r="I15" s="38" t="s">
        <v>38</v>
      </c>
    </row>
    <row r="16" ht="14.25" customHeight="1">
      <c r="B16" s="10"/>
      <c r="C16" s="31"/>
      <c r="D16" s="12"/>
      <c r="E16" s="32"/>
      <c r="F16" s="14"/>
      <c r="H16" s="25"/>
    </row>
    <row r="17" ht="14.25" customHeight="1">
      <c r="B17" s="41" t="s">
        <v>6</v>
      </c>
      <c r="C17" s="42">
        <v>17.0</v>
      </c>
      <c r="D17" s="43" t="s">
        <v>39</v>
      </c>
      <c r="E17" s="44"/>
      <c r="F17" s="45"/>
      <c r="K17" s="46"/>
    </row>
    <row r="18" ht="14.25" customHeight="1">
      <c r="B18" s="26" t="s">
        <v>10</v>
      </c>
      <c r="C18" s="33">
        <v>46252.0</v>
      </c>
      <c r="D18" s="17" t="s">
        <v>40</v>
      </c>
      <c r="E18" s="28" t="s">
        <v>41</v>
      </c>
      <c r="F18" s="14"/>
    </row>
    <row r="19" ht="14.25" customHeight="1">
      <c r="B19" s="26" t="s">
        <v>14</v>
      </c>
      <c r="C19" s="33">
        <v>46253.0</v>
      </c>
      <c r="D19" s="17"/>
      <c r="E19" s="28"/>
      <c r="F19" s="14"/>
      <c r="H19" s="25"/>
    </row>
    <row r="20" ht="14.25" customHeight="1">
      <c r="B20" s="26" t="s">
        <v>18</v>
      </c>
      <c r="C20" s="33">
        <v>46254.0</v>
      </c>
      <c r="D20" s="30"/>
      <c r="E20" s="28"/>
      <c r="F20" s="14"/>
    </row>
    <row r="21" ht="14.25" customHeight="1">
      <c r="A21" s="47"/>
      <c r="B21" s="48" t="s">
        <v>21</v>
      </c>
      <c r="C21" s="49">
        <v>46255.0</v>
      </c>
      <c r="D21" s="50"/>
      <c r="E21" s="18" t="str">
        <f>IFERROR(__xludf.DUMMYFUNCTION("AI(""Completa un valor adecuado para esta celda en función del contexto de la tabla"")"),"Diego Steinberg")</f>
        <v>Diego Steinberg</v>
      </c>
      <c r="F21" s="51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4.25" customHeight="1">
      <c r="B22" s="10"/>
      <c r="C22" s="31"/>
      <c r="D22" s="12"/>
      <c r="E22" s="32"/>
      <c r="F22" s="14"/>
    </row>
    <row r="23" ht="14.25" customHeight="1">
      <c r="B23" s="15" t="s">
        <v>6</v>
      </c>
      <c r="C23" s="49">
        <v>46258.0</v>
      </c>
      <c r="D23" s="17"/>
      <c r="E23" s="52"/>
      <c r="F23" s="14"/>
    </row>
    <row r="24" ht="14.25" customHeight="1">
      <c r="B24" s="15" t="s">
        <v>10</v>
      </c>
      <c r="C24" s="49">
        <v>46259.0</v>
      </c>
      <c r="D24" s="52" t="s">
        <v>42</v>
      </c>
      <c r="E24" s="53" t="s">
        <v>41</v>
      </c>
      <c r="F24" s="14"/>
    </row>
    <row r="25" ht="14.25" customHeight="1">
      <c r="B25" s="26" t="s">
        <v>14</v>
      </c>
      <c r="C25" s="49">
        <v>46260.0</v>
      </c>
      <c r="D25" s="54"/>
      <c r="E25" s="28"/>
      <c r="F25" s="14"/>
    </row>
    <row r="26" ht="14.25" customHeight="1">
      <c r="B26" s="26" t="s">
        <v>18</v>
      </c>
      <c r="C26" s="49">
        <v>46261.0</v>
      </c>
      <c r="D26" s="17"/>
      <c r="E26" s="28"/>
      <c r="F26" s="14"/>
    </row>
    <row r="27" ht="14.25" customHeight="1">
      <c r="A27" s="55"/>
      <c r="B27" s="56"/>
      <c r="C27" s="57">
        <v>46262.0</v>
      </c>
      <c r="D27" s="58" t="s">
        <v>43</v>
      </c>
      <c r="E27" s="44"/>
      <c r="F27" s="59"/>
      <c r="G27" s="60"/>
    </row>
    <row r="28" ht="14.25" customHeight="1">
      <c r="B28" s="10"/>
      <c r="C28" s="31"/>
      <c r="D28" s="12"/>
      <c r="E28" s="32"/>
      <c r="F28" s="14"/>
    </row>
    <row r="29" ht="14.25" customHeight="1">
      <c r="B29" s="26" t="s">
        <v>6</v>
      </c>
      <c r="C29" s="33">
        <v>46265.0</v>
      </c>
      <c r="D29" s="61"/>
      <c r="E29" s="28"/>
      <c r="F29" s="14"/>
    </row>
    <row r="30" ht="14.25" customHeight="1">
      <c r="B30" s="26" t="s">
        <v>10</v>
      </c>
      <c r="C30" s="33">
        <v>46266.0</v>
      </c>
      <c r="D30" s="17"/>
      <c r="E30" s="28"/>
      <c r="F30" s="14"/>
    </row>
    <row r="31" ht="14.25" customHeight="1">
      <c r="B31" s="26" t="s">
        <v>14</v>
      </c>
      <c r="C31" s="33">
        <v>46267.0</v>
      </c>
      <c r="D31" s="30"/>
      <c r="E31" s="28"/>
      <c r="F31" s="14"/>
      <c r="G31" s="62"/>
      <c r="H31" s="63"/>
    </row>
    <row r="32" ht="14.25" customHeight="1">
      <c r="B32" s="15" t="s">
        <v>18</v>
      </c>
      <c r="C32" s="33">
        <v>46268.0</v>
      </c>
      <c r="D32" s="17"/>
      <c r="E32" s="28"/>
      <c r="F32" s="14"/>
    </row>
    <row r="33" ht="14.25" customHeight="1">
      <c r="B33" s="15" t="s">
        <v>21</v>
      </c>
      <c r="C33" s="33">
        <v>46269.0</v>
      </c>
      <c r="D33" s="64"/>
      <c r="E33" s="18"/>
      <c r="F33" s="14"/>
    </row>
    <row r="34" ht="14.25" customHeight="1">
      <c r="B34" s="65"/>
      <c r="C34" s="66"/>
      <c r="D34" s="67"/>
      <c r="E34" s="68"/>
      <c r="F34" s="14"/>
    </row>
    <row r="35" ht="14.25" customHeight="1">
      <c r="B35" s="69" t="s">
        <v>6</v>
      </c>
      <c r="C35" s="70">
        <v>46272.0</v>
      </c>
      <c r="D35" s="71"/>
      <c r="E35" s="72"/>
      <c r="F35" s="14"/>
    </row>
    <row r="36" ht="14.25" customHeight="1">
      <c r="B36" s="73" t="s">
        <v>10</v>
      </c>
      <c r="C36" s="74">
        <v>46273.0</v>
      </c>
      <c r="D36" s="17"/>
      <c r="E36" s="17"/>
      <c r="F36" s="14"/>
      <c r="I36" s="63"/>
    </row>
    <row r="37" ht="14.25" customHeight="1">
      <c r="B37" s="26" t="s">
        <v>14</v>
      </c>
      <c r="C37" s="33">
        <v>46274.0</v>
      </c>
      <c r="D37" s="54"/>
      <c r="E37" s="72"/>
      <c r="F37" s="14"/>
    </row>
    <row r="38" ht="14.25" customHeight="1">
      <c r="B38" s="26" t="s">
        <v>18</v>
      </c>
      <c r="C38" s="33">
        <v>46275.0</v>
      </c>
      <c r="D38" s="52"/>
      <c r="E38" s="17"/>
      <c r="F38" s="14"/>
    </row>
    <row r="39" ht="14.25" customHeight="1">
      <c r="B39" s="26" t="s">
        <v>21</v>
      </c>
      <c r="C39" s="33">
        <v>46276.0</v>
      </c>
      <c r="D39" s="52"/>
      <c r="E39" s="19"/>
      <c r="F39" s="14"/>
    </row>
    <row r="40" ht="14.25" customHeight="1">
      <c r="B40" s="10"/>
      <c r="C40" s="31"/>
      <c r="D40" s="75"/>
      <c r="E40" s="32"/>
      <c r="F40" s="14"/>
    </row>
    <row r="41" ht="14.25" customHeight="1">
      <c r="B41" s="26" t="s">
        <v>6</v>
      </c>
      <c r="C41" s="33">
        <v>46279.0</v>
      </c>
      <c r="D41" s="54"/>
      <c r="E41" s="28"/>
      <c r="F41" s="14"/>
    </row>
    <row r="42" ht="14.25" customHeight="1">
      <c r="B42" s="15" t="s">
        <v>10</v>
      </c>
      <c r="C42" s="49">
        <v>46280.0</v>
      </c>
      <c r="D42" s="76"/>
      <c r="E42" s="18"/>
      <c r="F42" s="14"/>
    </row>
    <row r="43" ht="14.25" customHeight="1">
      <c r="B43" s="26" t="s">
        <v>14</v>
      </c>
      <c r="C43" s="49">
        <v>46281.0</v>
      </c>
      <c r="D43" s="29"/>
      <c r="E43" s="28"/>
      <c r="F43" s="14"/>
    </row>
    <row r="44" ht="14.25" customHeight="1">
      <c r="B44" s="26" t="s">
        <v>18</v>
      </c>
      <c r="C44" s="49">
        <v>46282.0</v>
      </c>
      <c r="D44" s="17"/>
      <c r="E44" s="28"/>
      <c r="F44" s="14"/>
    </row>
    <row r="45" ht="14.25" customHeight="1">
      <c r="B45" s="26" t="s">
        <v>21</v>
      </c>
      <c r="C45" s="49">
        <v>46283.0</v>
      </c>
      <c r="D45" s="17" t="s">
        <v>44</v>
      </c>
      <c r="E45" s="28" t="s">
        <v>45</v>
      </c>
      <c r="F45" s="14"/>
    </row>
    <row r="46" ht="14.25" customHeight="1">
      <c r="B46" s="10"/>
      <c r="C46" s="31"/>
      <c r="D46" s="12"/>
      <c r="E46" s="32"/>
      <c r="F46" s="14"/>
    </row>
    <row r="47" ht="14.25" customHeight="1">
      <c r="B47" s="15" t="s">
        <v>6</v>
      </c>
      <c r="C47" s="49">
        <v>46286.0</v>
      </c>
      <c r="D47" s="77"/>
      <c r="E47" s="18"/>
      <c r="F47" s="14"/>
    </row>
    <row r="48" ht="14.25" customHeight="1">
      <c r="B48" s="15" t="s">
        <v>10</v>
      </c>
      <c r="C48" s="49">
        <v>46287.0</v>
      </c>
      <c r="D48" s="64"/>
      <c r="E48" s="18"/>
      <c r="F48" s="14"/>
    </row>
    <row r="49" ht="14.25" customHeight="1">
      <c r="A49" s="78"/>
      <c r="B49" s="79" t="s">
        <v>14</v>
      </c>
      <c r="C49" s="80" t="s">
        <v>46</v>
      </c>
      <c r="D49" s="22"/>
      <c r="E49" s="23"/>
      <c r="F49" s="81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55"/>
      <c r="B50" s="41" t="s">
        <v>18</v>
      </c>
      <c r="C50" s="57">
        <v>46289.0</v>
      </c>
      <c r="D50" s="58" t="s">
        <v>39</v>
      </c>
      <c r="E50" s="44"/>
      <c r="F50" s="59"/>
    </row>
    <row r="51" ht="14.25" customHeight="1">
      <c r="B51" s="26" t="s">
        <v>21</v>
      </c>
      <c r="C51" s="33">
        <v>46290.0</v>
      </c>
      <c r="D51" s="82" t="s">
        <v>47</v>
      </c>
      <c r="E51" s="28" t="s">
        <v>45</v>
      </c>
      <c r="F51" s="14"/>
    </row>
    <row r="52" ht="14.25" customHeight="1">
      <c r="B52" s="10"/>
      <c r="C52" s="31"/>
      <c r="D52" s="83" t="s">
        <v>48</v>
      </c>
      <c r="E52" s="32"/>
      <c r="F52" s="14"/>
    </row>
    <row r="53" ht="14.25" customHeight="1">
      <c r="B53" s="26" t="s">
        <v>6</v>
      </c>
      <c r="C53" s="33">
        <v>46293.0</v>
      </c>
      <c r="D53" s="28"/>
      <c r="E53" s="28"/>
      <c r="F53" s="14"/>
    </row>
    <row r="54" ht="14.25" customHeight="1">
      <c r="B54" s="26" t="s">
        <v>10</v>
      </c>
      <c r="C54" s="33">
        <v>46294.0</v>
      </c>
      <c r="D54" s="64"/>
      <c r="E54" s="28"/>
      <c r="F54" s="14"/>
    </row>
    <row r="55" ht="14.25" customHeight="1">
      <c r="B55" s="26" t="s">
        <v>14</v>
      </c>
      <c r="C55" s="33">
        <v>46295.0</v>
      </c>
      <c r="D55" s="28"/>
      <c r="E55" s="28"/>
      <c r="F55" s="14"/>
    </row>
    <row r="56" ht="14.25" customHeight="1">
      <c r="B56" s="26" t="s">
        <v>18</v>
      </c>
      <c r="C56" s="33">
        <v>46296.0</v>
      </c>
      <c r="D56" s="54"/>
      <c r="E56" s="28"/>
      <c r="F56" s="14"/>
    </row>
    <row r="57" ht="14.25" customHeight="1">
      <c r="B57" s="26" t="s">
        <v>21</v>
      </c>
      <c r="C57" s="33">
        <v>46297.0</v>
      </c>
      <c r="D57" s="28"/>
      <c r="E57" s="84"/>
      <c r="F57" s="14"/>
    </row>
    <row r="58" ht="14.25" customHeight="1">
      <c r="B58" s="10"/>
      <c r="C58" s="31"/>
      <c r="D58" s="12"/>
      <c r="E58" s="32"/>
      <c r="F58" s="14"/>
    </row>
    <row r="59" ht="14.25" customHeight="1">
      <c r="B59" s="85" t="s">
        <v>6</v>
      </c>
      <c r="C59" s="86">
        <v>46300.0</v>
      </c>
      <c r="D59" s="87"/>
      <c r="E59" s="88"/>
      <c r="F59" s="14"/>
    </row>
    <row r="60" ht="14.25" customHeight="1">
      <c r="B60" s="89" t="s">
        <v>10</v>
      </c>
      <c r="C60" s="90">
        <v>46301.0</v>
      </c>
      <c r="D60" s="17" t="s">
        <v>49</v>
      </c>
      <c r="E60" s="84"/>
      <c r="F60" s="14"/>
    </row>
    <row r="61" ht="14.25" customHeight="1">
      <c r="B61" s="26" t="s">
        <v>14</v>
      </c>
      <c r="C61" s="33">
        <v>46302.0</v>
      </c>
      <c r="D61" s="17" t="s">
        <v>49</v>
      </c>
      <c r="E61" s="84"/>
      <c r="F61" s="14"/>
    </row>
    <row r="62" ht="14.25" customHeight="1">
      <c r="B62" s="73" t="s">
        <v>18</v>
      </c>
      <c r="C62" s="74">
        <v>46303.0</v>
      </c>
      <c r="D62" s="17" t="s">
        <v>49</v>
      </c>
      <c r="E62" s="84"/>
      <c r="F62" s="14"/>
    </row>
    <row r="63" ht="14.25" customHeight="1">
      <c r="B63" s="91" t="s">
        <v>21</v>
      </c>
      <c r="C63" s="92">
        <v>46304.0</v>
      </c>
      <c r="D63" s="93" t="s">
        <v>50</v>
      </c>
      <c r="E63" s="94"/>
      <c r="F63" s="14"/>
    </row>
    <row r="64" ht="14.25" customHeight="1">
      <c r="C64" s="1"/>
    </row>
    <row r="65" ht="14.25" customHeight="1">
      <c r="C65" s="95"/>
      <c r="D65" s="96"/>
      <c r="E65" s="96"/>
    </row>
    <row r="66" ht="14.25" customHeight="1">
      <c r="B66" s="97"/>
      <c r="C66" s="1"/>
      <c r="D66" s="96"/>
      <c r="E66" s="96"/>
    </row>
    <row r="67" ht="14.25" customHeight="1">
      <c r="B67" s="97"/>
      <c r="C67" s="1"/>
      <c r="D67" s="96"/>
      <c r="E67" s="96"/>
    </row>
    <row r="68" ht="14.25" customHeight="1">
      <c r="C68" s="1"/>
      <c r="D68" s="98"/>
    </row>
    <row r="69" ht="14.25" customHeight="1">
      <c r="C69" s="1"/>
      <c r="D69" s="97"/>
      <c r="E69" s="97"/>
    </row>
    <row r="70" ht="14.25" customHeight="1">
      <c r="C70" s="1"/>
      <c r="D70" s="97"/>
      <c r="E70" s="97"/>
    </row>
    <row r="71" ht="14.25" customHeight="1">
      <c r="C71" s="1"/>
      <c r="D71" s="97"/>
      <c r="E71" s="97"/>
    </row>
    <row r="72" ht="14.25" customHeight="1">
      <c r="C72" s="1"/>
    </row>
    <row r="73" ht="14.25" customHeight="1">
      <c r="B73" s="25"/>
      <c r="C73" s="1"/>
    </row>
    <row r="74" ht="14.25" customHeight="1">
      <c r="B74" s="99"/>
      <c r="C74" s="100"/>
      <c r="D74" s="99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2:E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